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k.thakur\Desktop\"/>
    </mc:Choice>
  </mc:AlternateContent>
  <xr:revisionPtr revIDLastSave="0" documentId="8_{B80FE731-396C-4D08-A44E-C22F3E31EE36}" xr6:coauthVersionLast="47" xr6:coauthVersionMax="47" xr10:uidLastSave="{00000000-0000-0000-0000-000000000000}"/>
  <bookViews>
    <workbookView xWindow="-108" yWindow="-108" windowWidth="23256" windowHeight="12456" xr2:uid="{3BD92743-AD1B-457F-9637-0F3B46CDE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7" i="1" l="1"/>
  <c r="C78" i="1"/>
  <c r="C79" i="1"/>
  <c r="C80" i="1"/>
  <c r="C77" i="1"/>
  <c r="D69" i="1"/>
  <c r="D70" i="1"/>
  <c r="D68" i="1"/>
  <c r="C59" i="1"/>
  <c r="C60" i="1"/>
  <c r="C61" i="1"/>
  <c r="C58" i="1"/>
  <c r="C28" i="1"/>
  <c r="C29" i="1"/>
  <c r="C30" i="1"/>
  <c r="C31" i="1"/>
  <c r="C27" i="1"/>
  <c r="D48" i="1"/>
  <c r="D49" i="1"/>
  <c r="D50" i="1"/>
  <c r="D47" i="1"/>
  <c r="D17" i="1"/>
  <c r="D18" i="1"/>
  <c r="D19" i="1"/>
  <c r="D16" i="1"/>
  <c r="C5" i="1" a="1"/>
  <c r="C5" i="1" s="1"/>
  <c r="D87" i="1"/>
  <c r="E77" i="1"/>
  <c r="E68" i="1"/>
  <c r="E16" i="1"/>
  <c r="D5" i="1"/>
  <c r="D27" i="1"/>
  <c r="E4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<sst xmlns="http://schemas.openxmlformats.org/spreadsheetml/2006/main" count="85" uniqueCount="70">
  <si>
    <t xml:space="preserve">que 1) </t>
  </si>
  <si>
    <t>solution</t>
  </si>
  <si>
    <t>solution-</t>
  </si>
  <si>
    <t xml:space="preserve">student name </t>
  </si>
  <si>
    <t>marks</t>
  </si>
  <si>
    <t>riya</t>
  </si>
  <si>
    <t>siya</t>
  </si>
  <si>
    <t>raju</t>
  </si>
  <si>
    <t>rahul</t>
  </si>
  <si>
    <t>ram</t>
  </si>
  <si>
    <t>result</t>
  </si>
  <si>
    <t>que 2</t>
  </si>
  <si>
    <t>Employee</t>
  </si>
  <si>
    <t>sales</t>
  </si>
  <si>
    <t>attendance</t>
  </si>
  <si>
    <t>Arjun</t>
  </si>
  <si>
    <t>simran</t>
  </si>
  <si>
    <t>rohit</t>
  </si>
  <si>
    <t>anjali</t>
  </si>
  <si>
    <t>que 3</t>
  </si>
  <si>
    <t>answer</t>
  </si>
  <si>
    <t>status</t>
  </si>
  <si>
    <t xml:space="preserve">emp Id </t>
  </si>
  <si>
    <t>Name</t>
  </si>
  <si>
    <t>Department</t>
  </si>
  <si>
    <t>E101</t>
  </si>
  <si>
    <t>E102</t>
  </si>
  <si>
    <t>E103</t>
  </si>
  <si>
    <t>E104</t>
  </si>
  <si>
    <t>Roshni</t>
  </si>
  <si>
    <t>sejal</t>
  </si>
  <si>
    <t>IT</t>
  </si>
  <si>
    <t>Hr</t>
  </si>
  <si>
    <t>Finance</t>
  </si>
  <si>
    <t>que 4</t>
  </si>
  <si>
    <t>student name</t>
  </si>
  <si>
    <t>Raj</t>
  </si>
  <si>
    <t>Neha</t>
  </si>
  <si>
    <t>Vivek</t>
  </si>
  <si>
    <t>Rani</t>
  </si>
  <si>
    <t>Sneha</t>
  </si>
  <si>
    <t>que 5</t>
  </si>
  <si>
    <t>Why VLOOKUP?</t>
  </si>
  <si>
    <r>
      <t xml:space="preserve">The data is arranged </t>
    </r>
    <r>
      <rPr>
        <b/>
        <sz val="11"/>
        <color theme="1"/>
        <rFont val="Calibri"/>
        <family val="2"/>
        <scheme val="minor"/>
      </rPr>
      <t>vertically</t>
    </r>
    <r>
      <rPr>
        <sz val="11"/>
        <color theme="1"/>
        <rFont val="Calibri"/>
        <family val="2"/>
        <scheme val="minor"/>
      </rPr>
      <t xml:space="preserve"> (columns).</t>
    </r>
  </si>
  <si>
    <t>VLOOKUP is used because the lookup value (EmpID) is in the first column of a vertical table and we need an exact match from another column</t>
  </si>
  <si>
    <t>sales amount</t>
  </si>
  <si>
    <t>commission rate</t>
  </si>
  <si>
    <t>If a salesperson achieves sales of ₹45,000, use the VLOOKUP function to determine the commission rate applicable.</t>
  </si>
  <si>
    <t>que 6,</t>
  </si>
  <si>
    <t xml:space="preserve">Employ name </t>
  </si>
  <si>
    <t>leaves taken</t>
  </si>
  <si>
    <t>leaves allowed</t>
  </si>
  <si>
    <t>I am unable to solve</t>
  </si>
  <si>
    <t>Alex</t>
  </si>
  <si>
    <t xml:space="preserve">Bob </t>
  </si>
  <si>
    <t>Anna</t>
  </si>
  <si>
    <t>Write an IF function to check whether an employee has Exceeded their allowed leave balance. If Leaves Taken &gt; Allowed Leaves, display "Exceeded". Otherwise, display "OK".</t>
  </si>
  <si>
    <t>que 7</t>
  </si>
  <si>
    <t>EmpID</t>
  </si>
  <si>
    <t>salary</t>
  </si>
  <si>
    <t>E105</t>
  </si>
  <si>
    <t>E106</t>
  </si>
  <si>
    <t>some problem I cann't find it</t>
  </si>
  <si>
    <t>que 8</t>
  </si>
  <si>
    <t>EmpId</t>
  </si>
  <si>
    <t>E303</t>
  </si>
  <si>
    <t>E301</t>
  </si>
  <si>
    <t>HR</t>
  </si>
  <si>
    <t>Sales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</si>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</sst>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9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385AF-7F7F-4CCE-85DC-93B2A66C223D}">
  <dimension ref="A1:L90"/>
  <sheetViews>
    <sheetView tabSelected="1" zoomScale="85" zoomScaleNormal="122" workbookViewId="0">
      <selection activeCell="C84" sqref="C84"/>
    </sheetView>
  </sheetViews>
  <sheetFormatPr defaultRowHeight="14.4" x14ac:dyDescent="0.3"/>
  <cols>
    <col min="1" max="1" width="13.21875" bestFit="1" customWidth="1"/>
    <col min="2" max="2" width="15.109375" bestFit="1" customWidth="1"/>
    <col min="3" max="3" width="12.21875" customWidth="1"/>
  </cols>
  <sheetData>
    <row r="1" spans="1:7" x14ac:dyDescent="0.3">
      <c r="A1" s="1" t="s">
        <v>0</v>
      </c>
    </row>
    <row r="2" spans="1:7" x14ac:dyDescent="0.3">
      <c r="A2" t="s">
        <v>2</v>
      </c>
    </row>
    <row r="4" spans="1:7" x14ac:dyDescent="0.3">
      <c r="A4" s="1" t="s">
        <v>3</v>
      </c>
      <c r="B4" s="1" t="s">
        <v>4</v>
      </c>
      <c r="C4" s="1" t="s">
        <v>10</v>
      </c>
    </row>
    <row r="5" spans="1:7" x14ac:dyDescent="0.3">
      <c r="A5" t="s">
        <v>5</v>
      </c>
      <c r="B5">
        <v>45</v>
      </c>
      <c r="C5" t="str" cm="1">
        <f t="array" ref="C5:C9">IF(B5:B9&gt;40,"pass","fail")</f>
        <v>pass</v>
      </c>
      <c r="D5" t="str">
        <f ca="1">_xlfn.FORMULATEXT(C5)</f>
        <v>=IF(B5:B9&gt;40,"pass","fail")</v>
      </c>
    </row>
    <row r="6" spans="1:7" x14ac:dyDescent="0.3">
      <c r="A6" t="s">
        <v>6</v>
      </c>
      <c r="B6">
        <v>72</v>
      </c>
      <c r="C6" t="str">
        <v>pass</v>
      </c>
    </row>
    <row r="7" spans="1:7" x14ac:dyDescent="0.3">
      <c r="A7" t="s">
        <v>7</v>
      </c>
      <c r="B7">
        <v>55</v>
      </c>
      <c r="C7" t="str">
        <v>pass</v>
      </c>
    </row>
    <row r="8" spans="1:7" x14ac:dyDescent="0.3">
      <c r="A8" t="s">
        <v>8</v>
      </c>
      <c r="B8">
        <v>80</v>
      </c>
      <c r="C8" t="str">
        <v>pass</v>
      </c>
    </row>
    <row r="9" spans="1:7" x14ac:dyDescent="0.3">
      <c r="A9" t="s">
        <v>9</v>
      </c>
      <c r="B9">
        <v>30</v>
      </c>
      <c r="C9" t="str">
        <v>fail</v>
      </c>
    </row>
    <row r="11" spans="1:7" x14ac:dyDescent="0.3">
      <c r="G11" s="1"/>
    </row>
    <row r="12" spans="1:7" x14ac:dyDescent="0.3">
      <c r="A12" s="1" t="s">
        <v>11</v>
      </c>
    </row>
    <row r="13" spans="1:7" x14ac:dyDescent="0.3">
      <c r="A13" s="1" t="s">
        <v>1</v>
      </c>
    </row>
    <row r="15" spans="1:7" x14ac:dyDescent="0.3">
      <c r="A15" s="1" t="s">
        <v>12</v>
      </c>
      <c r="B15" s="1" t="s">
        <v>13</v>
      </c>
      <c r="C15" s="1" t="s">
        <v>14</v>
      </c>
      <c r="D15" s="1" t="s">
        <v>21</v>
      </c>
    </row>
    <row r="16" spans="1:7" x14ac:dyDescent="0.3">
      <c r="A16" t="s">
        <v>15</v>
      </c>
      <c r="B16">
        <v>55000</v>
      </c>
      <c r="C16">
        <v>95</v>
      </c>
      <c r="D16" t="str">
        <f>IF(AND(B16&gt;45000,C16&gt;90),"bonus","no bonus")</f>
        <v>bonus</v>
      </c>
      <c r="E16" t="str">
        <f ca="1">_xlfn.FORMULATEXT(D16)</f>
        <v>=IF(AND(B16&gt;45000,C16&gt;90),"bonus","no bonus")</v>
      </c>
    </row>
    <row r="17" spans="1:4" x14ac:dyDescent="0.3">
      <c r="A17" t="s">
        <v>16</v>
      </c>
      <c r="B17">
        <v>65000</v>
      </c>
      <c r="C17">
        <v>85</v>
      </c>
      <c r="D17" t="str">
        <f t="shared" ref="D17:D19" si="0">IF(AND(B17&gt;45000,C17&gt;90),"bonus","no bonus")</f>
        <v>no bonus</v>
      </c>
    </row>
    <row r="18" spans="1:4" x14ac:dyDescent="0.3">
      <c r="A18" t="s">
        <v>17</v>
      </c>
      <c r="B18">
        <v>30000</v>
      </c>
      <c r="C18">
        <v>90</v>
      </c>
      <c r="D18" t="str">
        <f t="shared" si="0"/>
        <v>no bonus</v>
      </c>
    </row>
    <row r="19" spans="1:4" x14ac:dyDescent="0.3">
      <c r="A19" t="s">
        <v>18</v>
      </c>
      <c r="B19">
        <v>25000</v>
      </c>
      <c r="C19">
        <v>65</v>
      </c>
      <c r="D19" t="str">
        <f t="shared" si="0"/>
        <v>no bonus</v>
      </c>
    </row>
    <row r="22" spans="1:4" x14ac:dyDescent="0.3">
      <c r="A22" s="1" t="s">
        <v>19</v>
      </c>
    </row>
    <row r="23" spans="1:4" x14ac:dyDescent="0.3">
      <c r="A23" s="1" t="s">
        <v>20</v>
      </c>
    </row>
    <row r="26" spans="1:4" x14ac:dyDescent="0.3">
      <c r="A26" t="s">
        <v>35</v>
      </c>
      <c r="B26" t="s">
        <v>4</v>
      </c>
    </row>
    <row r="27" spans="1:4" x14ac:dyDescent="0.3">
      <c r="A27" s="2" t="s">
        <v>36</v>
      </c>
      <c r="B27" s="2">
        <v>85</v>
      </c>
      <c r="C27" s="2" t="str">
        <f>IF(B27&gt;=90,"A",IF(B27&gt;=75,"B",IF(B27&gt;=50,"C","fail")))</f>
        <v>B</v>
      </c>
      <c r="D27" t="str">
        <f ca="1">_xlfn.FORMULATEXT(C27)</f>
        <v>=IF(B27&gt;=90,"A",IF(B27&gt;=75,"B",IF(B27&gt;=50,"C","fail")))</v>
      </c>
    </row>
    <row r="28" spans="1:4" x14ac:dyDescent="0.3">
      <c r="A28" s="2" t="s">
        <v>37</v>
      </c>
      <c r="B28" s="2">
        <v>96</v>
      </c>
      <c r="C28" s="2" t="str">
        <f t="shared" ref="C28:C31" si="1">IF(B28&gt;=90,"A",IF(B28&gt;=75,"B",IF(B28&gt;=50,"C","fail")))</f>
        <v>A</v>
      </c>
    </row>
    <row r="29" spans="1:4" x14ac:dyDescent="0.3">
      <c r="A29" s="2" t="s">
        <v>38</v>
      </c>
      <c r="B29" s="2">
        <v>57</v>
      </c>
      <c r="C29" s="2" t="str">
        <f t="shared" si="1"/>
        <v>C</v>
      </c>
    </row>
    <row r="30" spans="1:4" x14ac:dyDescent="0.3">
      <c r="A30" s="2" t="s">
        <v>39</v>
      </c>
      <c r="B30" s="2">
        <v>92</v>
      </c>
      <c r="C30" s="2" t="str">
        <f t="shared" si="1"/>
        <v>A</v>
      </c>
    </row>
    <row r="31" spans="1:4" x14ac:dyDescent="0.3">
      <c r="A31" s="2" t="s">
        <v>40</v>
      </c>
      <c r="B31" s="2">
        <v>75</v>
      </c>
      <c r="C31" s="2" t="str">
        <f t="shared" si="1"/>
        <v>B</v>
      </c>
    </row>
    <row r="43" spans="1:9" x14ac:dyDescent="0.3">
      <c r="A43" s="1" t="s">
        <v>34</v>
      </c>
    </row>
    <row r="44" spans="1:9" x14ac:dyDescent="0.3">
      <c r="A44" s="1" t="s">
        <v>20</v>
      </c>
    </row>
    <row r="45" spans="1:9" ht="18" x14ac:dyDescent="0.3">
      <c r="I45" s="3" t="s">
        <v>42</v>
      </c>
    </row>
    <row r="46" spans="1:9" x14ac:dyDescent="0.3">
      <c r="A46" s="1" t="s">
        <v>22</v>
      </c>
      <c r="B46" s="1" t="s">
        <v>23</v>
      </c>
      <c r="C46" s="1" t="s">
        <v>24</v>
      </c>
      <c r="I46" s="4"/>
    </row>
    <row r="47" spans="1:9" x14ac:dyDescent="0.3">
      <c r="A47" s="1" t="s">
        <v>25</v>
      </c>
      <c r="B47" t="s">
        <v>7</v>
      </c>
      <c r="C47" t="s">
        <v>31</v>
      </c>
      <c r="D47" t="str">
        <f>VLOOKUP("E101",A47:C50,3,FALSE)</f>
        <v>IT</v>
      </c>
      <c r="E47" t="str">
        <f ca="1">_xlfn.FORMULATEXT(D47)</f>
        <v>=VLOOKUP("E101",A47:C50,3,FALSE)</v>
      </c>
      <c r="I47" s="4" t="s">
        <v>43</v>
      </c>
    </row>
    <row r="48" spans="1:9" x14ac:dyDescent="0.3">
      <c r="A48" s="1" t="s">
        <v>26</v>
      </c>
      <c r="B48" t="s">
        <v>5</v>
      </c>
      <c r="C48" t="s">
        <v>32</v>
      </c>
      <c r="D48" t="e">
        <f t="shared" ref="D48:D50" si="2">VLOOKUP("E101",A48:C51,3,FALSE)</f>
        <v>#N/A</v>
      </c>
      <c r="I48" s="1" t="s">
        <v>44</v>
      </c>
    </row>
    <row r="49" spans="1:11" x14ac:dyDescent="0.3">
      <c r="A49" s="1" t="s">
        <v>27</v>
      </c>
      <c r="B49" t="s">
        <v>29</v>
      </c>
      <c r="C49" t="s">
        <v>33</v>
      </c>
      <c r="D49" t="e">
        <f t="shared" si="2"/>
        <v>#N/A</v>
      </c>
      <c r="I49" s="4"/>
    </row>
    <row r="50" spans="1:11" x14ac:dyDescent="0.3">
      <c r="A50" s="1" t="s">
        <v>28</v>
      </c>
      <c r="B50" t="s">
        <v>30</v>
      </c>
      <c r="C50" t="s">
        <v>13</v>
      </c>
      <c r="D50" t="e">
        <f t="shared" si="2"/>
        <v>#N/A</v>
      </c>
      <c r="I50" s="4"/>
    </row>
    <row r="51" spans="1:11" x14ac:dyDescent="0.3">
      <c r="I51" s="4"/>
    </row>
    <row r="52" spans="1:11" x14ac:dyDescent="0.3">
      <c r="I52" s="4"/>
    </row>
    <row r="53" spans="1:11" x14ac:dyDescent="0.3">
      <c r="A53" s="1" t="s">
        <v>41</v>
      </c>
      <c r="I53" s="4"/>
    </row>
    <row r="54" spans="1:11" x14ac:dyDescent="0.3">
      <c r="A54" s="1" t="s">
        <v>20</v>
      </c>
    </row>
    <row r="57" spans="1:11" x14ac:dyDescent="0.3">
      <c r="A57" s="1" t="s">
        <v>45</v>
      </c>
      <c r="B57" s="1" t="s">
        <v>46</v>
      </c>
    </row>
    <row r="58" spans="1:11" x14ac:dyDescent="0.3">
      <c r="A58">
        <v>0</v>
      </c>
      <c r="B58" s="5">
        <v>0.05</v>
      </c>
      <c r="C58">
        <f>VLOOKUP(45000,A58:B61,2,TRUE)</f>
        <v>0.1</v>
      </c>
      <c r="G58" t="s">
        <v>47</v>
      </c>
    </row>
    <row r="59" spans="1:11" x14ac:dyDescent="0.3">
      <c r="A59">
        <v>20000</v>
      </c>
      <c r="B59" s="5">
        <v>0.1</v>
      </c>
      <c r="C59">
        <f t="shared" ref="C59:C61" si="3">VLOOKUP(45000,A59:B62,2,TRUE)</f>
        <v>0.1</v>
      </c>
      <c r="E59" s="6" t="s">
        <v>52</v>
      </c>
    </row>
    <row r="60" spans="1:11" x14ac:dyDescent="0.3">
      <c r="A60">
        <v>50000</v>
      </c>
      <c r="B60" s="5">
        <v>0.15</v>
      </c>
      <c r="C60" t="e">
        <f t="shared" si="3"/>
        <v>#N/A</v>
      </c>
    </row>
    <row r="61" spans="1:11" x14ac:dyDescent="0.3">
      <c r="A61">
        <v>80000</v>
      </c>
      <c r="B61" s="5">
        <v>0.2</v>
      </c>
      <c r="C61" t="e">
        <f t="shared" si="3"/>
        <v>#N/A</v>
      </c>
    </row>
    <row r="63" spans="1:11" x14ac:dyDescent="0.3">
      <c r="K63" s="1"/>
    </row>
    <row r="64" spans="1:11" x14ac:dyDescent="0.3">
      <c r="A64" s="1" t="s">
        <v>48</v>
      </c>
    </row>
    <row r="65" spans="1:12" x14ac:dyDescent="0.3">
      <c r="A65" s="1" t="s">
        <v>20</v>
      </c>
    </row>
    <row r="67" spans="1:12" x14ac:dyDescent="0.3">
      <c r="A67" s="1" t="s">
        <v>49</v>
      </c>
      <c r="B67" s="1" t="s">
        <v>50</v>
      </c>
      <c r="C67" s="1" t="s">
        <v>51</v>
      </c>
      <c r="I67" t="s">
        <v>56</v>
      </c>
    </row>
    <row r="68" spans="1:12" x14ac:dyDescent="0.3">
      <c r="A68" s="1" t="s">
        <v>53</v>
      </c>
      <c r="B68">
        <v>10</v>
      </c>
      <c r="C68">
        <v>12</v>
      </c>
      <c r="D68" t="str">
        <f>IF(B68&gt;C68,"exceeded","ok")</f>
        <v>ok</v>
      </c>
      <c r="E68" t="str">
        <f ca="1">_xlfn.FORMULATEXT(D68)</f>
        <v>=IF(B68&gt;C68,"exceeded","ok")</v>
      </c>
    </row>
    <row r="69" spans="1:12" x14ac:dyDescent="0.3">
      <c r="A69" s="1" t="s">
        <v>54</v>
      </c>
      <c r="B69">
        <v>10</v>
      </c>
      <c r="C69">
        <v>15</v>
      </c>
      <c r="D69" t="str">
        <f t="shared" ref="D69:D70" si="4">IF(B69&gt;C69,"exceeded","ok")</f>
        <v>ok</v>
      </c>
    </row>
    <row r="70" spans="1:12" x14ac:dyDescent="0.3">
      <c r="A70" s="1" t="s">
        <v>55</v>
      </c>
      <c r="B70">
        <v>8</v>
      </c>
      <c r="C70">
        <v>12</v>
      </c>
      <c r="D70" t="str">
        <f t="shared" si="4"/>
        <v>ok</v>
      </c>
    </row>
    <row r="73" spans="1:12" x14ac:dyDescent="0.3">
      <c r="A73" s="1" t="s">
        <v>57</v>
      </c>
    </row>
    <row r="74" spans="1:12" x14ac:dyDescent="0.3">
      <c r="A74" s="1" t="s">
        <v>20</v>
      </c>
    </row>
    <row r="76" spans="1:12" x14ac:dyDescent="0.3">
      <c r="A76" s="1" t="s">
        <v>58</v>
      </c>
      <c r="B76" s="1" t="s">
        <v>59</v>
      </c>
    </row>
    <row r="77" spans="1:12" x14ac:dyDescent="0.3">
      <c r="A77" t="s">
        <v>28</v>
      </c>
      <c r="B77">
        <v>55000</v>
      </c>
      <c r="C77">
        <f>INDEX(B77:B80,MATCH("E105",A77:A80,0))</f>
        <v>72000</v>
      </c>
      <c r="E77" t="str">
        <f ca="1">_xlfn.FORMULATEXT(C77)</f>
        <v>=INDEX(B77:B80,MATCH("E105",A77:A80,0))</v>
      </c>
    </row>
    <row r="78" spans="1:12" x14ac:dyDescent="0.3">
      <c r="A78" t="s">
        <v>60</v>
      </c>
      <c r="B78">
        <v>72000</v>
      </c>
      <c r="C78">
        <f t="shared" ref="C78:C80" si="5">INDEX(B78:B81,MATCH("E105",A78:A81,0))</f>
        <v>72000</v>
      </c>
      <c r="L78" s="6" t="s">
        <v>62</v>
      </c>
    </row>
    <row r="79" spans="1:12" x14ac:dyDescent="0.3">
      <c r="A79" t="s">
        <v>61</v>
      </c>
      <c r="B79">
        <v>62000</v>
      </c>
      <c r="C79" t="e">
        <f t="shared" si="5"/>
        <v>#N/A</v>
      </c>
    </row>
    <row r="80" spans="1:12" x14ac:dyDescent="0.3">
      <c r="A80" t="s">
        <v>26</v>
      </c>
      <c r="B80">
        <v>41000</v>
      </c>
      <c r="C80" t="e">
        <f t="shared" si="5"/>
        <v>#N/A</v>
      </c>
    </row>
    <row r="83" spans="1:4" x14ac:dyDescent="0.3">
      <c r="A83" s="1" t="s">
        <v>63</v>
      </c>
      <c r="B83" s="1"/>
    </row>
    <row r="84" spans="1:4" x14ac:dyDescent="0.3">
      <c r="A84" s="1" t="s">
        <v>20</v>
      </c>
      <c r="B84" s="1"/>
    </row>
    <row r="85" spans="1:4" x14ac:dyDescent="0.3">
      <c r="A85" s="1"/>
      <c r="B85" s="1"/>
    </row>
    <row r="86" spans="1:4" x14ac:dyDescent="0.3">
      <c r="A86" s="1" t="s">
        <v>64</v>
      </c>
      <c r="B86" s="1" t="s">
        <v>59</v>
      </c>
    </row>
    <row r="87" spans="1:4" x14ac:dyDescent="0.3">
      <c r="A87" s="1" t="s">
        <v>25</v>
      </c>
      <c r="B87" s="1" t="s">
        <v>67</v>
      </c>
      <c r="C87" t="str">
        <f>_xlfn.XLOOKUP("E303",A87:A90,B87:B90)</f>
        <v>IT</v>
      </c>
      <c r="D87" t="str">
        <f ca="1">_xlfn.FORMULATEXT(C87)</f>
        <v>=XLOOKUP("E303",A87:A90,B87:B90)</v>
      </c>
    </row>
    <row r="88" spans="1:4" x14ac:dyDescent="0.3">
      <c r="A88" s="1" t="s">
        <v>65</v>
      </c>
      <c r="B88" t="s">
        <v>31</v>
      </c>
    </row>
    <row r="89" spans="1:4" x14ac:dyDescent="0.3">
      <c r="A89" s="1" t="s">
        <v>61</v>
      </c>
      <c r="B89" s="1" t="s">
        <v>68</v>
      </c>
    </row>
    <row r="90" spans="1:4" x14ac:dyDescent="0.3">
      <c r="A90" s="1" t="s">
        <v>66</v>
      </c>
      <c r="B90" s="1" t="s">
        <v>69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stiwari08765@gmail.com</dc:creator>
  <cp:lastModifiedBy>stiwari08765@gmail.com</cp:lastModifiedBy>
  <dcterms:created xsi:type="dcterms:W3CDTF">2026-02-13T15:26:47Z</dcterms:created>
  <dcterms:modified xsi:type="dcterms:W3CDTF">2026-02-17T04:34:11Z</dcterms:modified>
</cp:coreProperties>
</file>